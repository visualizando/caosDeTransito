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in.ferro\Desktop\MARTIN\LEY 104 EX-2026-06205479-   -GCABA-DGAIGA\"/>
    </mc:Choice>
  </mc:AlternateContent>
  <bookViews>
    <workbookView xWindow="0" yWindow="0" windowWidth="28770" windowHeight="12360" tabRatio="500"/>
  </bookViews>
  <sheets>
    <sheet name="Hoja1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2" i="2" l="1"/>
  <c r="B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72" i="2" l="1"/>
  <c r="D154" i="2"/>
  <c r="D153" i="2"/>
  <c r="D152" i="2"/>
  <c r="D151" i="2"/>
  <c r="D150" i="2"/>
  <c r="D149" i="2"/>
  <c r="D148" i="2"/>
  <c r="D147" i="2"/>
  <c r="D146" i="2"/>
  <c r="D145" i="2"/>
  <c r="D144" i="2"/>
  <c r="D143" i="2"/>
  <c r="C155" i="2"/>
  <c r="B155" i="2"/>
  <c r="D155" i="2" l="1"/>
  <c r="D137" i="2"/>
  <c r="D136" i="2"/>
  <c r="D135" i="2"/>
  <c r="D134" i="2"/>
  <c r="D133" i="2"/>
  <c r="D132" i="2"/>
  <c r="D131" i="2"/>
  <c r="D130" i="2"/>
  <c r="D129" i="2"/>
  <c r="D128" i="2"/>
  <c r="D127" i="2"/>
  <c r="D126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3" i="2"/>
  <c r="D102" i="2"/>
  <c r="D101" i="2"/>
  <c r="D100" i="2"/>
  <c r="D99" i="2"/>
  <c r="D98" i="2"/>
  <c r="D97" i="2"/>
  <c r="D96" i="2"/>
  <c r="D95" i="2"/>
  <c r="D94" i="2"/>
  <c r="D93" i="2"/>
  <c r="D92" i="2"/>
  <c r="D86" i="2"/>
  <c r="D85" i="2"/>
  <c r="D84" i="2"/>
  <c r="D83" i="2"/>
  <c r="D82" i="2"/>
  <c r="D81" i="2"/>
  <c r="D80" i="2"/>
  <c r="D79" i="2"/>
  <c r="D78" i="2"/>
  <c r="D77" i="2"/>
  <c r="D76" i="2"/>
  <c r="D75" i="2"/>
  <c r="D69" i="2"/>
  <c r="D68" i="2"/>
  <c r="D67" i="2"/>
  <c r="D66" i="2"/>
  <c r="D65" i="2"/>
  <c r="D64" i="2"/>
  <c r="D63" i="2"/>
  <c r="D62" i="2"/>
  <c r="D61" i="2"/>
  <c r="D60" i="2"/>
  <c r="D59" i="2"/>
  <c r="D58" i="2"/>
  <c r="C19" i="2"/>
  <c r="B19" i="2"/>
  <c r="D18" i="2"/>
  <c r="D17" i="2"/>
  <c r="D16" i="2"/>
  <c r="D15" i="2"/>
  <c r="D14" i="2"/>
  <c r="D13" i="2"/>
  <c r="D12" i="2"/>
  <c r="D11" i="2"/>
  <c r="D10" i="2"/>
  <c r="D9" i="2"/>
  <c r="D8" i="2"/>
  <c r="D7" i="2"/>
  <c r="D19" i="2" l="1"/>
  <c r="C70" i="2" l="1"/>
  <c r="B70" i="2"/>
  <c r="D70" i="2" l="1"/>
  <c r="C53" i="2" l="1"/>
  <c r="B53" i="2"/>
  <c r="D52" i="2"/>
  <c r="D51" i="2"/>
  <c r="D50" i="2"/>
  <c r="D49" i="2"/>
  <c r="D48" i="2"/>
  <c r="D47" i="2"/>
  <c r="D46" i="2"/>
  <c r="D45" i="2"/>
  <c r="D44" i="2"/>
  <c r="D43" i="2"/>
  <c r="D42" i="2"/>
  <c r="D41" i="2"/>
  <c r="D53" i="2" l="1"/>
  <c r="C36" i="2" l="1"/>
  <c r="B36" i="2"/>
  <c r="D35" i="2"/>
  <c r="D34" i="2"/>
  <c r="D33" i="2"/>
  <c r="D32" i="2"/>
  <c r="D31" i="2"/>
  <c r="D30" i="2"/>
  <c r="D29" i="2"/>
  <c r="D28" i="2"/>
  <c r="D27" i="2"/>
  <c r="D26" i="2"/>
  <c r="D25" i="2"/>
  <c r="D24" i="2"/>
  <c r="D36" i="2" l="1"/>
  <c r="C138" i="2"/>
  <c r="B138" i="2"/>
  <c r="C121" i="2"/>
  <c r="B121" i="2"/>
  <c r="D121" i="2" l="1"/>
  <c r="D138" i="2"/>
  <c r="C104" i="2"/>
  <c r="B104" i="2"/>
  <c r="D104" i="2" l="1"/>
  <c r="C87" i="2"/>
  <c r="B87" i="2"/>
  <c r="D87" i="2" l="1"/>
</calcChain>
</file>

<file path=xl/sharedStrings.xml><?xml version="1.0" encoding="utf-8"?>
<sst xmlns="http://schemas.openxmlformats.org/spreadsheetml/2006/main" count="81" uniqueCount="10">
  <si>
    <t xml:space="preserve">   ACTAS      PROCESADAS  </t>
  </si>
  <si>
    <t>Rubros</t>
  </si>
  <si>
    <t>Transito</t>
  </si>
  <si>
    <t>Total</t>
  </si>
  <si>
    <t xml:space="preserve"> Mes</t>
  </si>
  <si>
    <t>Fotos</t>
  </si>
  <si>
    <t>Manuales</t>
  </si>
  <si>
    <t xml:space="preserve">Total  </t>
  </si>
  <si>
    <t xml:space="preserve">   ACTAS      PROCESADAS</t>
  </si>
  <si>
    <t>ACTAS PROCESADAS TRANSITO 2016 - 2025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</si>
</sst>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\-??_);_(@_)"/>
    <numFmt numFmtId="165" formatCode="_-* #,##0.00_-;\-* #,##0.00_-;_-* \-??_-;_-@_-"/>
    <numFmt numFmtId="166" formatCode="_-* #,##0_-;\-* #,##0_-;_-* \-??_-;_-@_-"/>
    <numFmt numFmtId="167" formatCode="_-* #,##0_-;\-* #,##0_-;_-* &quot;-&quot;??_-;_-@_-"/>
    <numFmt numFmtId="168" formatCode="_(* #,##0_);_(* \(#,##0\);_(* &quot;-&quot;??_);_(@_)"/>
  </numFmts>
  <fonts count="18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 Black"/>
      <family val="2"/>
      <charset val="1"/>
    </font>
    <font>
      <b/>
      <i/>
      <sz val="12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i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 Black"/>
      <family val="2"/>
      <charset val="1"/>
    </font>
    <font>
      <sz val="11"/>
      <color rgb="FF000000"/>
      <name val="Calibri"/>
      <family val="2"/>
      <charset val="1"/>
    </font>
    <font>
      <b/>
      <u/>
      <sz val="12"/>
      <color rgb="FF000000"/>
      <name val="Arial"/>
      <family val="2"/>
    </font>
    <font>
      <b/>
      <sz val="12"/>
      <color theme="1"/>
      <name val="Arial Black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Black"/>
      <family val="2"/>
    </font>
    <font>
      <b/>
      <i/>
      <sz val="12"/>
      <name val="Arial"/>
      <family val="2"/>
    </font>
    <font>
      <sz val="12"/>
      <name val="Arial"/>
      <family val="2"/>
    </font>
    <font>
      <sz val="12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CC1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CCC1DA"/>
      </patternFill>
    </fill>
    <fill>
      <patternFill patternType="solid">
        <fgColor theme="0"/>
        <bgColor rgb="FFCCC1DA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9" fillId="0" borderId="0" applyBorder="0" applyProtection="0"/>
    <xf numFmtId="164" fontId="9" fillId="0" borderId="0" applyBorder="0" applyProtection="0"/>
    <xf numFmtId="0" fontId="1" fillId="0" borderId="0"/>
    <xf numFmtId="9" fontId="9" fillId="0" borderId="0" applyBorder="0" applyProtection="0"/>
  </cellStyleXfs>
  <cellXfs count="120">
    <xf numFmtId="0" fontId="0" fillId="0" borderId="0" xfId="0"/>
    <xf numFmtId="0" fontId="6" fillId="0" borderId="3" xfId="3" applyFont="1" applyBorder="1" applyAlignment="1">
      <alignment horizontal="center" vertical="center"/>
    </xf>
    <xf numFmtId="0" fontId="4" fillId="0" borderId="8" xfId="3" applyFont="1" applyBorder="1" applyAlignment="1">
      <alignment horizontal="center" vertical="center"/>
    </xf>
    <xf numFmtId="3" fontId="6" fillId="0" borderId="9" xfId="3" applyNumberFormat="1" applyFont="1" applyBorder="1" applyAlignment="1">
      <alignment horizontal="center" vertical="center"/>
    </xf>
    <xf numFmtId="3" fontId="6" fillId="0" borderId="10" xfId="3" applyNumberFormat="1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/>
    </xf>
    <xf numFmtId="0" fontId="2" fillId="0" borderId="19" xfId="3" applyFont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166" fontId="8" fillId="0" borderId="6" xfId="1" applyNumberFormat="1" applyFont="1" applyBorder="1" applyAlignment="1" applyProtection="1">
      <alignment horizontal="center" vertical="center"/>
    </xf>
    <xf numFmtId="166" fontId="3" fillId="2" borderId="1" xfId="1" applyNumberFormat="1" applyFont="1" applyFill="1" applyBorder="1" applyAlignment="1" applyProtection="1">
      <alignment horizontal="right" vertical="center"/>
    </xf>
    <xf numFmtId="0" fontId="10" fillId="0" borderId="0" xfId="0" applyFont="1"/>
    <xf numFmtId="0" fontId="12" fillId="0" borderId="3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3" fontId="12" fillId="0" borderId="9" xfId="3" applyNumberFormat="1" applyFont="1" applyBorder="1" applyAlignment="1">
      <alignment horizontal="center" vertical="center"/>
    </xf>
    <xf numFmtId="3" fontId="12" fillId="0" borderId="10" xfId="3" applyNumberFormat="1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15" xfId="3" applyFont="1" applyBorder="1" applyAlignment="1">
      <alignment horizontal="center" vertical="center"/>
    </xf>
    <xf numFmtId="0" fontId="13" fillId="0" borderId="15" xfId="3" applyFont="1" applyBorder="1" applyAlignment="1">
      <alignment horizontal="center"/>
    </xf>
    <xf numFmtId="0" fontId="13" fillId="0" borderId="19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167" fontId="14" fillId="0" borderId="6" xfId="1" applyNumberFormat="1" applyFont="1" applyBorder="1" applyAlignment="1" applyProtection="1">
      <alignment horizontal="center" vertical="center"/>
    </xf>
    <xf numFmtId="167" fontId="11" fillId="3" borderId="1" xfId="1" applyNumberFormat="1" applyFont="1" applyFill="1" applyBorder="1" applyAlignment="1">
      <alignment horizontal="right" vertical="center"/>
    </xf>
    <xf numFmtId="3" fontId="13" fillId="4" borderId="3" xfId="1" applyNumberFormat="1" applyFont="1" applyFill="1" applyBorder="1" applyAlignment="1">
      <alignment horizontal="right" vertical="center"/>
    </xf>
    <xf numFmtId="3" fontId="13" fillId="4" borderId="13" xfId="1" applyNumberFormat="1" applyFont="1" applyFill="1" applyBorder="1" applyAlignment="1">
      <alignment horizontal="right" vertical="center"/>
    </xf>
    <xf numFmtId="3" fontId="13" fillId="4" borderId="16" xfId="1" applyNumberFormat="1" applyFont="1" applyFill="1" applyBorder="1" applyAlignment="1">
      <alignment horizontal="right" vertical="center"/>
    </xf>
    <xf numFmtId="3" fontId="13" fillId="4" borderId="17" xfId="1" applyNumberFormat="1" applyFont="1" applyFill="1" applyBorder="1" applyAlignment="1">
      <alignment horizontal="right" vertical="center"/>
    </xf>
    <xf numFmtId="3" fontId="13" fillId="4" borderId="16" xfId="1" applyNumberFormat="1" applyFont="1" applyFill="1" applyBorder="1" applyAlignment="1" applyProtection="1">
      <alignment horizontal="right" vertical="center"/>
    </xf>
    <xf numFmtId="3" fontId="13" fillId="4" borderId="17" xfId="1" applyNumberFormat="1" applyFont="1" applyFill="1" applyBorder="1" applyAlignment="1" applyProtection="1">
      <alignment horizontal="right" vertical="center"/>
    </xf>
    <xf numFmtId="165" fontId="13" fillId="4" borderId="26" xfId="1" applyFont="1" applyFill="1" applyBorder="1" applyAlignment="1" applyProtection="1">
      <alignment horizontal="right" vertical="center" wrapText="1"/>
    </xf>
    <xf numFmtId="167" fontId="13" fillId="4" borderId="27" xfId="1" applyNumberFormat="1" applyFont="1" applyFill="1" applyBorder="1" applyAlignment="1" applyProtection="1">
      <alignment horizontal="right" vertical="center" wrapText="1"/>
    </xf>
    <xf numFmtId="167" fontId="13" fillId="4" borderId="30" xfId="1" applyNumberFormat="1" applyFont="1" applyFill="1" applyBorder="1" applyAlignment="1">
      <alignment horizontal="right" vertical="center"/>
    </xf>
    <xf numFmtId="167" fontId="13" fillId="4" borderId="31" xfId="1" applyNumberFormat="1" applyFont="1" applyFill="1" applyBorder="1" applyAlignment="1">
      <alignment horizontal="right" vertical="center"/>
    </xf>
    <xf numFmtId="0" fontId="4" fillId="0" borderId="30" xfId="3" applyFont="1" applyBorder="1" applyAlignment="1">
      <alignment horizontal="center" vertical="center"/>
    </xf>
    <xf numFmtId="0" fontId="11" fillId="5" borderId="1" xfId="3" applyFont="1" applyFill="1" applyBorder="1" applyAlignment="1">
      <alignment horizontal="center"/>
    </xf>
    <xf numFmtId="0" fontId="3" fillId="6" borderId="1" xfId="3" applyFont="1" applyFill="1" applyBorder="1" applyAlignment="1">
      <alignment horizontal="center"/>
    </xf>
    <xf numFmtId="3" fontId="2" fillId="7" borderId="3" xfId="1" applyNumberFormat="1" applyFont="1" applyFill="1" applyBorder="1" applyAlignment="1" applyProtection="1">
      <alignment horizontal="right" vertical="center"/>
    </xf>
    <xf numFmtId="3" fontId="2" fillId="7" borderId="13" xfId="1" applyNumberFormat="1" applyFont="1" applyFill="1" applyBorder="1" applyAlignment="1" applyProtection="1">
      <alignment horizontal="right" vertical="center"/>
    </xf>
    <xf numFmtId="3" fontId="2" fillId="7" borderId="16" xfId="1" applyNumberFormat="1" applyFont="1" applyFill="1" applyBorder="1" applyAlignment="1" applyProtection="1">
      <alignment horizontal="right" vertical="center"/>
    </xf>
    <xf numFmtId="3" fontId="2" fillId="7" borderId="17" xfId="1" applyNumberFormat="1" applyFont="1" applyFill="1" applyBorder="1" applyAlignment="1" applyProtection="1">
      <alignment horizontal="right" vertical="center"/>
    </xf>
    <xf numFmtId="166" fontId="7" fillId="7" borderId="16" xfId="1" applyNumberFormat="1" applyFont="1" applyFill="1" applyBorder="1" applyAlignment="1" applyProtection="1">
      <alignment horizontal="right" vertical="center" wrapText="1"/>
    </xf>
    <xf numFmtId="166" fontId="7" fillId="7" borderId="17" xfId="1" applyNumberFormat="1" applyFont="1" applyFill="1" applyBorder="1" applyAlignment="1" applyProtection="1">
      <alignment horizontal="right" vertical="center" wrapText="1"/>
    </xf>
    <xf numFmtId="166" fontId="2" fillId="7" borderId="30" xfId="1" applyNumberFormat="1" applyFont="1" applyFill="1" applyBorder="1" applyAlignment="1" applyProtection="1">
      <alignment horizontal="right" vertical="center"/>
    </xf>
    <xf numFmtId="166" fontId="2" fillId="7" borderId="11" xfId="1" applyNumberFormat="1" applyFont="1" applyFill="1" applyBorder="1" applyAlignment="1" applyProtection="1">
      <alignment horizontal="right" vertical="center" wrapText="1"/>
    </xf>
    <xf numFmtId="166" fontId="2" fillId="7" borderId="8" xfId="1" applyNumberFormat="1" applyFont="1" applyFill="1" applyBorder="1" applyAlignment="1" applyProtection="1">
      <alignment horizontal="right" vertical="center"/>
    </xf>
    <xf numFmtId="0" fontId="12" fillId="0" borderId="20" xfId="3" applyFont="1" applyBorder="1" applyAlignment="1">
      <alignment horizontal="center" vertical="center"/>
    </xf>
    <xf numFmtId="0" fontId="12" fillId="0" borderId="33" xfId="3" applyFont="1" applyBorder="1" applyAlignment="1">
      <alignment horizontal="center" vertical="center"/>
    </xf>
    <xf numFmtId="3" fontId="12" fillId="0" borderId="34" xfId="3" applyNumberFormat="1" applyFont="1" applyBorder="1" applyAlignment="1">
      <alignment horizontal="center" vertical="center"/>
    </xf>
    <xf numFmtId="3" fontId="12" fillId="0" borderId="35" xfId="3" applyNumberFormat="1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168" fontId="13" fillId="0" borderId="36" xfId="2" applyNumberFormat="1" applyFont="1" applyBorder="1" applyAlignment="1">
      <alignment horizontal="right" vertical="center" wrapText="1"/>
    </xf>
    <xf numFmtId="168" fontId="13" fillId="0" borderId="36" xfId="2" applyNumberFormat="1" applyFont="1" applyBorder="1" applyAlignment="1" applyProtection="1">
      <alignment horizontal="right" vertical="center"/>
    </xf>
    <xf numFmtId="0" fontId="13" fillId="0" borderId="33" xfId="3" applyFont="1" applyBorder="1" applyAlignment="1">
      <alignment horizontal="center" vertical="center"/>
    </xf>
    <xf numFmtId="0" fontId="13" fillId="0" borderId="33" xfId="3" applyFont="1" applyBorder="1" applyAlignment="1">
      <alignment horizontal="center"/>
    </xf>
    <xf numFmtId="168" fontId="13" fillId="4" borderId="36" xfId="2" applyNumberFormat="1" applyFont="1" applyFill="1" applyBorder="1" applyAlignment="1" applyProtection="1">
      <alignment horizontal="right" vertical="center"/>
    </xf>
    <xf numFmtId="168" fontId="13" fillId="0" borderId="36" xfId="2" applyNumberFormat="1" applyFont="1" applyBorder="1" applyAlignment="1">
      <alignment horizontal="right" vertical="center"/>
    </xf>
    <xf numFmtId="168" fontId="13" fillId="4" borderId="36" xfId="2" applyNumberFormat="1" applyFont="1" applyFill="1" applyBorder="1" applyAlignment="1">
      <alignment horizontal="right" vertical="center"/>
    </xf>
    <xf numFmtId="0" fontId="13" fillId="0" borderId="37" xfId="3" applyFont="1" applyBorder="1" applyAlignment="1">
      <alignment horizontal="center" vertical="center"/>
    </xf>
    <xf numFmtId="168" fontId="13" fillId="0" borderId="34" xfId="2" applyNumberFormat="1" applyFont="1" applyBorder="1" applyAlignment="1">
      <alignment horizontal="right" vertical="center"/>
    </xf>
    <xf numFmtId="168" fontId="14" fillId="0" borderId="6" xfId="2" applyNumberFormat="1" applyFont="1" applyBorder="1" applyAlignment="1" applyProtection="1">
      <alignment horizontal="center" vertical="center"/>
    </xf>
    <xf numFmtId="168" fontId="13" fillId="3" borderId="28" xfId="2" applyNumberFormat="1" applyFont="1" applyFill="1" applyBorder="1" applyAlignment="1">
      <alignment horizontal="right" vertical="center"/>
    </xf>
    <xf numFmtId="168" fontId="14" fillId="3" borderId="7" xfId="2" applyNumberFormat="1" applyFont="1" applyFill="1" applyBorder="1" applyAlignment="1" applyProtection="1">
      <alignment horizontal="center" vertical="center"/>
    </xf>
    <xf numFmtId="3" fontId="13" fillId="4" borderId="36" xfId="2" applyNumberFormat="1" applyFont="1" applyFill="1" applyBorder="1" applyAlignment="1">
      <alignment horizontal="right" vertical="center" wrapText="1"/>
    </xf>
    <xf numFmtId="3" fontId="13" fillId="4" borderId="36" xfId="2" applyNumberFormat="1" applyFont="1" applyFill="1" applyBorder="1" applyAlignment="1" applyProtection="1">
      <alignment horizontal="right" vertical="center"/>
    </xf>
    <xf numFmtId="3" fontId="13" fillId="3" borderId="28" xfId="2" applyNumberFormat="1" applyFont="1" applyFill="1" applyBorder="1" applyAlignment="1">
      <alignment horizontal="right" vertical="center"/>
    </xf>
    <xf numFmtId="3" fontId="13" fillId="4" borderId="36" xfId="2" applyNumberFormat="1" applyFont="1" applyFill="1" applyBorder="1" applyAlignment="1">
      <alignment horizontal="right" vertical="center"/>
    </xf>
    <xf numFmtId="3" fontId="13" fillId="4" borderId="27" xfId="0" applyNumberFormat="1" applyFont="1" applyFill="1" applyBorder="1" applyAlignment="1">
      <alignment horizontal="right" vertical="center" wrapText="1"/>
    </xf>
    <xf numFmtId="3" fontId="13" fillId="4" borderId="34" xfId="2" applyNumberFormat="1" applyFont="1" applyFill="1" applyBorder="1" applyAlignment="1">
      <alignment horizontal="right" vertical="center"/>
    </xf>
    <xf numFmtId="3" fontId="14" fillId="0" borderId="6" xfId="2" applyNumberFormat="1" applyFont="1" applyBorder="1" applyAlignment="1" applyProtection="1">
      <alignment horizontal="center" vertical="center"/>
    </xf>
    <xf numFmtId="3" fontId="11" fillId="3" borderId="14" xfId="2" applyNumberFormat="1" applyFont="1" applyFill="1" applyBorder="1" applyAlignment="1">
      <alignment horizontal="right" vertical="center"/>
    </xf>
    <xf numFmtId="0" fontId="16" fillId="0" borderId="20" xfId="3" applyFont="1" applyFill="1" applyBorder="1" applyAlignment="1">
      <alignment horizontal="center" vertical="center"/>
    </xf>
    <xf numFmtId="168" fontId="16" fillId="0" borderId="36" xfId="2" applyNumberFormat="1" applyFont="1" applyFill="1" applyBorder="1" applyAlignment="1">
      <alignment vertical="center" wrapText="1"/>
    </xf>
    <xf numFmtId="168" fontId="16" fillId="0" borderId="36" xfId="2" applyNumberFormat="1" applyFont="1" applyFill="1" applyBorder="1" applyAlignment="1">
      <alignment horizontal="center" vertical="center" wrapText="1"/>
    </xf>
    <xf numFmtId="0" fontId="16" fillId="0" borderId="33" xfId="3" applyFont="1" applyFill="1" applyBorder="1" applyAlignment="1" applyProtection="1">
      <alignment horizontal="center" vertical="center"/>
    </xf>
    <xf numFmtId="168" fontId="16" fillId="0" borderId="36" xfId="2" applyNumberFormat="1" applyFont="1" applyFill="1" applyBorder="1" applyAlignment="1" applyProtection="1">
      <alignment vertical="center"/>
    </xf>
    <xf numFmtId="0" fontId="16" fillId="0" borderId="33" xfId="3" applyFont="1" applyFill="1" applyBorder="1" applyAlignment="1" applyProtection="1">
      <alignment horizontal="center"/>
    </xf>
    <xf numFmtId="168" fontId="16" fillId="4" borderId="36" xfId="2" applyNumberFormat="1" applyFont="1" applyFill="1" applyBorder="1" applyAlignment="1" applyProtection="1">
      <alignment vertical="center"/>
    </xf>
    <xf numFmtId="168" fontId="16" fillId="0" borderId="36" xfId="2" applyNumberFormat="1" applyFont="1" applyFill="1" applyBorder="1" applyAlignment="1">
      <alignment vertical="center"/>
    </xf>
    <xf numFmtId="168" fontId="16" fillId="4" borderId="36" xfId="2" applyNumberFormat="1" applyFont="1" applyFill="1" applyBorder="1" applyAlignment="1">
      <alignment vertical="center"/>
    </xf>
    <xf numFmtId="0" fontId="16" fillId="0" borderId="37" xfId="3" applyFont="1" applyFill="1" applyBorder="1" applyAlignment="1">
      <alignment horizontal="center" vertical="center"/>
    </xf>
    <xf numFmtId="168" fontId="16" fillId="0" borderId="34" xfId="2" applyNumberFormat="1" applyFont="1" applyFill="1" applyBorder="1" applyAlignment="1">
      <alignment vertical="center"/>
    </xf>
    <xf numFmtId="0" fontId="15" fillId="0" borderId="22" xfId="3" applyFont="1" applyFill="1" applyBorder="1" applyAlignment="1" applyProtection="1">
      <alignment horizontal="center" vertical="center"/>
    </xf>
    <xf numFmtId="168" fontId="17" fillId="0" borderId="6" xfId="2" applyNumberFormat="1" applyFont="1" applyFill="1" applyBorder="1" applyAlignment="1" applyProtection="1">
      <alignment horizontal="center" vertical="center"/>
    </xf>
    <xf numFmtId="0" fontId="12" fillId="0" borderId="20" xfId="3" applyFont="1" applyFill="1" applyBorder="1" applyAlignment="1">
      <alignment horizontal="center" vertical="center"/>
    </xf>
    <xf numFmtId="0" fontId="12" fillId="0" borderId="33" xfId="3" applyFont="1" applyFill="1" applyBorder="1" applyAlignment="1" applyProtection="1">
      <alignment horizontal="center" vertical="center"/>
    </xf>
    <xf numFmtId="3" fontId="12" fillId="0" borderId="34" xfId="3" applyNumberFormat="1" applyFont="1" applyFill="1" applyBorder="1" applyAlignment="1">
      <alignment horizontal="center" vertical="center"/>
    </xf>
    <xf numFmtId="3" fontId="12" fillId="0" borderId="10" xfId="3" applyNumberFormat="1" applyFont="1" applyFill="1" applyBorder="1" applyAlignment="1">
      <alignment horizontal="center" vertical="center"/>
    </xf>
    <xf numFmtId="168" fontId="16" fillId="3" borderId="28" xfId="2" applyNumberFormat="1" applyFont="1" applyFill="1" applyBorder="1" applyAlignment="1">
      <alignment horizontal="center" vertical="center"/>
    </xf>
    <xf numFmtId="168" fontId="17" fillId="3" borderId="7" xfId="2" applyNumberFormat="1" applyFont="1" applyFill="1" applyBorder="1" applyAlignment="1" applyProtection="1">
      <alignment horizontal="center" vertical="center"/>
    </xf>
    <xf numFmtId="168" fontId="13" fillId="0" borderId="36" xfId="2" applyNumberFormat="1" applyFont="1" applyFill="1" applyBorder="1" applyAlignment="1">
      <alignment vertical="center"/>
    </xf>
    <xf numFmtId="168" fontId="13" fillId="4" borderId="36" xfId="2" applyNumberFormat="1" applyFont="1" applyFill="1" applyBorder="1" applyAlignment="1">
      <alignment vertical="center"/>
    </xf>
    <xf numFmtId="3" fontId="6" fillId="0" borderId="34" xfId="3" applyNumberFormat="1" applyFont="1" applyBorder="1" applyAlignment="1">
      <alignment horizontal="center" vertical="center"/>
    </xf>
    <xf numFmtId="0" fontId="2" fillId="0" borderId="38" xfId="3" applyFont="1" applyBorder="1" applyAlignment="1">
      <alignment horizontal="center" vertical="center"/>
    </xf>
    <xf numFmtId="0" fontId="2" fillId="0" borderId="38" xfId="3" applyFont="1" applyBorder="1" applyAlignment="1">
      <alignment horizontal="center"/>
    </xf>
    <xf numFmtId="0" fontId="2" fillId="0" borderId="29" xfId="3" applyFont="1" applyBorder="1" applyAlignment="1">
      <alignment horizontal="center" vertical="center"/>
    </xf>
    <xf numFmtId="3" fontId="2" fillId="7" borderId="33" xfId="1" applyNumberFormat="1" applyFont="1" applyFill="1" applyBorder="1" applyAlignment="1" applyProtection="1">
      <alignment horizontal="right" vertical="center"/>
    </xf>
    <xf numFmtId="3" fontId="2" fillId="7" borderId="36" xfId="1" applyNumberFormat="1" applyFont="1" applyFill="1" applyBorder="1" applyAlignment="1" applyProtection="1">
      <alignment horizontal="right" vertical="center"/>
    </xf>
    <xf numFmtId="166" fontId="7" fillId="7" borderId="33" xfId="1" applyNumberFormat="1" applyFont="1" applyFill="1" applyBorder="1" applyAlignment="1" applyProtection="1">
      <alignment horizontal="right" vertical="center" wrapText="1"/>
    </xf>
    <xf numFmtId="166" fontId="7" fillId="7" borderId="36" xfId="1" applyNumberFormat="1" applyFont="1" applyFill="1" applyBorder="1" applyAlignment="1" applyProtection="1">
      <alignment horizontal="right" vertical="center" wrapText="1"/>
    </xf>
    <xf numFmtId="166" fontId="2" fillId="7" borderId="31" xfId="1" applyNumberFormat="1" applyFont="1" applyFill="1" applyBorder="1" applyAlignment="1" applyProtection="1">
      <alignment horizontal="right" vertical="center" wrapText="1"/>
    </xf>
    <xf numFmtId="0" fontId="5" fillId="6" borderId="2" xfId="3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11" fillId="5" borderId="24" xfId="3" applyFont="1" applyFill="1" applyBorder="1" applyAlignment="1">
      <alignment horizontal="center" vertical="center"/>
    </xf>
    <xf numFmtId="0" fontId="11" fillId="5" borderId="6" xfId="3" applyFont="1" applyFill="1" applyBorder="1" applyAlignment="1">
      <alignment horizontal="center" vertical="center"/>
    </xf>
    <xf numFmtId="0" fontId="11" fillId="5" borderId="7" xfId="3" applyFont="1" applyFill="1" applyBorder="1" applyAlignment="1">
      <alignment horizontal="center" vertical="center"/>
    </xf>
    <xf numFmtId="0" fontId="12" fillId="0" borderId="32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25" xfId="3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23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32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25" xfId="3" applyFont="1" applyFill="1" applyBorder="1" applyAlignment="1">
      <alignment horizontal="center" vertical="center"/>
    </xf>
    <xf numFmtId="0" fontId="12" fillId="0" borderId="18" xfId="3" applyFont="1" applyFill="1" applyBorder="1" applyAlignment="1">
      <alignment horizontal="center" vertical="center"/>
    </xf>
  </cellXfs>
  <cellStyles count="5">
    <cellStyle name="Millares" xfId="1" builtinId="3"/>
    <cellStyle name="Millares_Hoja3" xfId="2"/>
    <cellStyle name="Normal" xfId="0" builtinId="0"/>
    <cellStyle name="Normal 4" xfId="3"/>
    <cellStyle name="Porcentaje 4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EB4E3"/>
      <rgbColor rgb="FFFF99CC"/>
      <rgbColor rgb="FFCC99FF"/>
      <rgbColor rgb="FFC3D6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>
      <selection activeCell="H151" sqref="H151"/>
    </sheetView>
  </sheetViews>
  <sheetFormatPr baseColWidth="10" defaultRowHeight="15" x14ac:dyDescent="0.25"/>
  <cols>
    <col min="1" max="1" width="11.7109375" bestFit="1" customWidth="1"/>
    <col min="2" max="4" width="15.42578125" bestFit="1" customWidth="1"/>
  </cols>
  <sheetData>
    <row r="1" spans="1:4" ht="15.75" x14ac:dyDescent="0.25">
      <c r="A1" s="13" t="s">
        <v>9</v>
      </c>
    </row>
    <row r="2" spans="1:4" ht="15.75" x14ac:dyDescent="0.25">
      <c r="A2" s="13"/>
    </row>
    <row r="3" spans="1:4" ht="15.75" thickBot="1" x14ac:dyDescent="0.3"/>
    <row r="4" spans="1:4" ht="20.25" thickBot="1" x14ac:dyDescent="0.45">
      <c r="A4" s="37">
        <v>2016</v>
      </c>
      <c r="B4" s="106" t="s">
        <v>8</v>
      </c>
      <c r="C4" s="107"/>
      <c r="D4" s="108"/>
    </row>
    <row r="5" spans="1:4" x14ac:dyDescent="0.25">
      <c r="A5" s="86" t="s">
        <v>1</v>
      </c>
      <c r="B5" s="116" t="s">
        <v>2</v>
      </c>
      <c r="C5" s="117"/>
      <c r="D5" s="118" t="s">
        <v>3</v>
      </c>
    </row>
    <row r="6" spans="1:4" x14ac:dyDescent="0.25">
      <c r="A6" s="87" t="s">
        <v>4</v>
      </c>
      <c r="B6" s="88" t="s">
        <v>5</v>
      </c>
      <c r="C6" s="89" t="s">
        <v>6</v>
      </c>
      <c r="D6" s="119"/>
    </row>
    <row r="7" spans="1:4" x14ac:dyDescent="0.25">
      <c r="A7" s="73">
        <v>1</v>
      </c>
      <c r="B7" s="74">
        <v>178087</v>
      </c>
      <c r="C7" s="75">
        <v>56762</v>
      </c>
      <c r="D7" s="90">
        <f t="shared" ref="D7:D18" si="0">+SUM(B7:C7)</f>
        <v>234849</v>
      </c>
    </row>
    <row r="8" spans="1:4" x14ac:dyDescent="0.25">
      <c r="A8" s="76">
        <v>2</v>
      </c>
      <c r="B8" s="74">
        <v>302763</v>
      </c>
      <c r="C8" s="75">
        <v>58278</v>
      </c>
      <c r="D8" s="90">
        <f t="shared" si="0"/>
        <v>361041</v>
      </c>
    </row>
    <row r="9" spans="1:4" x14ac:dyDescent="0.25">
      <c r="A9" s="76">
        <v>3</v>
      </c>
      <c r="B9" s="77">
        <v>266970</v>
      </c>
      <c r="C9" s="77">
        <v>46772</v>
      </c>
      <c r="D9" s="90">
        <f t="shared" si="0"/>
        <v>313742</v>
      </c>
    </row>
    <row r="10" spans="1:4" x14ac:dyDescent="0.25">
      <c r="A10" s="76">
        <v>4</v>
      </c>
      <c r="B10" s="77">
        <v>477848</v>
      </c>
      <c r="C10" s="77">
        <v>36254</v>
      </c>
      <c r="D10" s="90">
        <f t="shared" si="0"/>
        <v>514102</v>
      </c>
    </row>
    <row r="11" spans="1:4" ht="15.75" x14ac:dyDescent="0.25">
      <c r="A11" s="78">
        <v>5</v>
      </c>
      <c r="B11" s="77">
        <v>182768</v>
      </c>
      <c r="C11" s="77">
        <v>67310</v>
      </c>
      <c r="D11" s="90">
        <f t="shared" si="0"/>
        <v>250078</v>
      </c>
    </row>
    <row r="12" spans="1:4" x14ac:dyDescent="0.25">
      <c r="A12" s="76">
        <v>6</v>
      </c>
      <c r="B12" s="77">
        <v>167392</v>
      </c>
      <c r="C12" s="79">
        <v>67724</v>
      </c>
      <c r="D12" s="90">
        <f t="shared" si="0"/>
        <v>235116</v>
      </c>
    </row>
    <row r="13" spans="1:4" x14ac:dyDescent="0.25">
      <c r="A13" s="73">
        <v>7</v>
      </c>
      <c r="B13" s="80">
        <v>342445</v>
      </c>
      <c r="C13" s="81">
        <v>31508</v>
      </c>
      <c r="D13" s="90">
        <f t="shared" si="0"/>
        <v>373953</v>
      </c>
    </row>
    <row r="14" spans="1:4" ht="15.75" x14ac:dyDescent="0.25">
      <c r="A14" s="78">
        <v>8</v>
      </c>
      <c r="B14" s="80">
        <v>250582</v>
      </c>
      <c r="C14" s="81">
        <v>74160</v>
      </c>
      <c r="D14" s="90">
        <f t="shared" si="0"/>
        <v>324742</v>
      </c>
    </row>
    <row r="15" spans="1:4" ht="15.75" x14ac:dyDescent="0.25">
      <c r="A15" s="78">
        <v>9</v>
      </c>
      <c r="B15" s="77">
        <v>191812</v>
      </c>
      <c r="C15" s="79">
        <v>82045</v>
      </c>
      <c r="D15" s="90">
        <f t="shared" si="0"/>
        <v>273857</v>
      </c>
    </row>
    <row r="16" spans="1:4" ht="15.75" x14ac:dyDescent="0.25">
      <c r="A16" s="78">
        <v>10</v>
      </c>
      <c r="B16" s="77">
        <v>200562</v>
      </c>
      <c r="C16" s="79">
        <v>75778</v>
      </c>
      <c r="D16" s="90">
        <f t="shared" si="0"/>
        <v>276340</v>
      </c>
    </row>
    <row r="17" spans="1:4" x14ac:dyDescent="0.25">
      <c r="A17" s="76">
        <v>11</v>
      </c>
      <c r="B17" s="92">
        <v>321508</v>
      </c>
      <c r="C17" s="93">
        <v>78949</v>
      </c>
      <c r="D17" s="90">
        <f t="shared" si="0"/>
        <v>400457</v>
      </c>
    </row>
    <row r="18" spans="1:4" ht="15.75" thickBot="1" x14ac:dyDescent="0.3">
      <c r="A18" s="82">
        <v>12</v>
      </c>
      <c r="B18" s="83">
        <v>180567</v>
      </c>
      <c r="C18" s="83">
        <v>93640</v>
      </c>
      <c r="D18" s="90">
        <f t="shared" si="0"/>
        <v>274207</v>
      </c>
    </row>
    <row r="19" spans="1:4" ht="20.25" thickBot="1" x14ac:dyDescent="0.3">
      <c r="A19" s="84" t="s">
        <v>7</v>
      </c>
      <c r="B19" s="85">
        <f>SUM(B7:B18)</f>
        <v>3063304</v>
      </c>
      <c r="C19" s="85">
        <f>SUM(C7:C18)</f>
        <v>769180</v>
      </c>
      <c r="D19" s="91">
        <f>SUM(D7:D18)</f>
        <v>3832484</v>
      </c>
    </row>
    <row r="20" spans="1:4" ht="15.75" thickBot="1" x14ac:dyDescent="0.3"/>
    <row r="21" spans="1:4" ht="20.25" thickBot="1" x14ac:dyDescent="0.45">
      <c r="A21" s="37">
        <v>2017</v>
      </c>
      <c r="B21" s="106" t="s">
        <v>8</v>
      </c>
      <c r="C21" s="107"/>
      <c r="D21" s="108"/>
    </row>
    <row r="22" spans="1:4" x14ac:dyDescent="0.25">
      <c r="A22" s="48" t="s">
        <v>1</v>
      </c>
      <c r="B22" s="109" t="s">
        <v>2</v>
      </c>
      <c r="C22" s="110"/>
      <c r="D22" s="111" t="s">
        <v>3</v>
      </c>
    </row>
    <row r="23" spans="1:4" x14ac:dyDescent="0.25">
      <c r="A23" s="49" t="s">
        <v>4</v>
      </c>
      <c r="B23" s="50" t="s">
        <v>5</v>
      </c>
      <c r="C23" s="51" t="s">
        <v>6</v>
      </c>
      <c r="D23" s="112"/>
    </row>
    <row r="24" spans="1:4" x14ac:dyDescent="0.25">
      <c r="A24" s="52">
        <v>1</v>
      </c>
      <c r="B24" s="53">
        <v>292279</v>
      </c>
      <c r="C24" s="53">
        <v>46289</v>
      </c>
      <c r="D24" s="63">
        <f t="shared" ref="D24:D35" si="1">+SUM(B24:C24)</f>
        <v>338568</v>
      </c>
    </row>
    <row r="25" spans="1:4" x14ac:dyDescent="0.25">
      <c r="A25" s="55">
        <v>2</v>
      </c>
      <c r="B25" s="53">
        <v>251703</v>
      </c>
      <c r="C25" s="53">
        <v>93997</v>
      </c>
      <c r="D25" s="63">
        <f t="shared" si="1"/>
        <v>345700</v>
      </c>
    </row>
    <row r="26" spans="1:4" x14ac:dyDescent="0.25">
      <c r="A26" s="55">
        <v>3</v>
      </c>
      <c r="B26" s="53">
        <v>253683</v>
      </c>
      <c r="C26" s="54">
        <v>73085</v>
      </c>
      <c r="D26" s="63">
        <f t="shared" si="1"/>
        <v>326768</v>
      </c>
    </row>
    <row r="27" spans="1:4" x14ac:dyDescent="0.25">
      <c r="A27" s="55">
        <v>4</v>
      </c>
      <c r="B27" s="54">
        <v>236047</v>
      </c>
      <c r="C27" s="54">
        <v>75395</v>
      </c>
      <c r="D27" s="63">
        <f t="shared" si="1"/>
        <v>311442</v>
      </c>
    </row>
    <row r="28" spans="1:4" ht="15.75" x14ac:dyDescent="0.25">
      <c r="A28" s="56">
        <v>5</v>
      </c>
      <c r="B28" s="54">
        <v>265386</v>
      </c>
      <c r="C28" s="54">
        <v>89188</v>
      </c>
      <c r="D28" s="63">
        <f t="shared" si="1"/>
        <v>354574</v>
      </c>
    </row>
    <row r="29" spans="1:4" x14ac:dyDescent="0.25">
      <c r="A29" s="55">
        <v>6</v>
      </c>
      <c r="B29" s="54">
        <v>312639</v>
      </c>
      <c r="C29" s="57">
        <v>82412</v>
      </c>
      <c r="D29" s="63">
        <f t="shared" si="1"/>
        <v>395051</v>
      </c>
    </row>
    <row r="30" spans="1:4" x14ac:dyDescent="0.25">
      <c r="A30" s="52">
        <v>7</v>
      </c>
      <c r="B30" s="58">
        <v>199818</v>
      </c>
      <c r="C30" s="59">
        <v>113101</v>
      </c>
      <c r="D30" s="63">
        <f t="shared" si="1"/>
        <v>312919</v>
      </c>
    </row>
    <row r="31" spans="1:4" ht="15.75" x14ac:dyDescent="0.25">
      <c r="A31" s="56">
        <v>8</v>
      </c>
      <c r="B31" s="58">
        <v>149047</v>
      </c>
      <c r="C31" s="59">
        <v>150977</v>
      </c>
      <c r="D31" s="63">
        <f t="shared" si="1"/>
        <v>300024</v>
      </c>
    </row>
    <row r="32" spans="1:4" ht="15.75" x14ac:dyDescent="0.25">
      <c r="A32" s="56">
        <v>9</v>
      </c>
      <c r="B32" s="54">
        <v>219134</v>
      </c>
      <c r="C32" s="57">
        <v>91377</v>
      </c>
      <c r="D32" s="63">
        <f t="shared" si="1"/>
        <v>310511</v>
      </c>
    </row>
    <row r="33" spans="1:4" ht="15.75" x14ac:dyDescent="0.25">
      <c r="A33" s="56">
        <v>10</v>
      </c>
      <c r="B33" s="54">
        <v>229327</v>
      </c>
      <c r="C33" s="57">
        <v>93422</v>
      </c>
      <c r="D33" s="63">
        <f t="shared" si="1"/>
        <v>322749</v>
      </c>
    </row>
    <row r="34" spans="1:4" x14ac:dyDescent="0.25">
      <c r="A34" s="55">
        <v>11</v>
      </c>
      <c r="B34" s="54">
        <v>200195</v>
      </c>
      <c r="C34" s="57">
        <v>158120</v>
      </c>
      <c r="D34" s="63">
        <f t="shared" si="1"/>
        <v>358315</v>
      </c>
    </row>
    <row r="35" spans="1:4" ht="15.75" thickBot="1" x14ac:dyDescent="0.3">
      <c r="A35" s="60">
        <v>12</v>
      </c>
      <c r="B35" s="61">
        <v>199638</v>
      </c>
      <c r="C35" s="61">
        <v>128596</v>
      </c>
      <c r="D35" s="63">
        <f t="shared" si="1"/>
        <v>328234</v>
      </c>
    </row>
    <row r="36" spans="1:4" ht="20.25" thickBot="1" x14ac:dyDescent="0.3">
      <c r="A36" s="23" t="s">
        <v>7</v>
      </c>
      <c r="B36" s="62">
        <f>SUM(B24:B35)</f>
        <v>2808896</v>
      </c>
      <c r="C36" s="62">
        <f>SUM(C24:C35)</f>
        <v>1195959</v>
      </c>
      <c r="D36" s="64">
        <f>SUM(D24:D35)</f>
        <v>4004855</v>
      </c>
    </row>
    <row r="37" spans="1:4" ht="15.75" thickBot="1" x14ac:dyDescent="0.3"/>
    <row r="38" spans="1:4" ht="20.25" thickBot="1" x14ac:dyDescent="0.45">
      <c r="A38" s="37">
        <v>2018</v>
      </c>
      <c r="B38" s="106" t="s">
        <v>8</v>
      </c>
      <c r="C38" s="107"/>
      <c r="D38" s="108"/>
    </row>
    <row r="39" spans="1:4" x14ac:dyDescent="0.25">
      <c r="A39" s="48" t="s">
        <v>1</v>
      </c>
      <c r="B39" s="109" t="s">
        <v>2</v>
      </c>
      <c r="C39" s="110"/>
      <c r="D39" s="111" t="s">
        <v>3</v>
      </c>
    </row>
    <row r="40" spans="1:4" x14ac:dyDescent="0.25">
      <c r="A40" s="49" t="s">
        <v>4</v>
      </c>
      <c r="B40" s="50" t="s">
        <v>5</v>
      </c>
      <c r="C40" s="51" t="s">
        <v>6</v>
      </c>
      <c r="D40" s="112"/>
    </row>
    <row r="41" spans="1:4" x14ac:dyDescent="0.25">
      <c r="A41" s="52">
        <v>1</v>
      </c>
      <c r="B41" s="65">
        <v>200348</v>
      </c>
      <c r="C41" s="65">
        <v>146822</v>
      </c>
      <c r="D41" s="67">
        <f t="shared" ref="D41:D52" si="2">+SUM(B41:C41)</f>
        <v>347170</v>
      </c>
    </row>
    <row r="42" spans="1:4" x14ac:dyDescent="0.25">
      <c r="A42" s="55">
        <v>2</v>
      </c>
      <c r="B42" s="65">
        <v>193649</v>
      </c>
      <c r="C42" s="65">
        <v>69465</v>
      </c>
      <c r="D42" s="67">
        <f t="shared" si="2"/>
        <v>263114</v>
      </c>
    </row>
    <row r="43" spans="1:4" x14ac:dyDescent="0.25">
      <c r="A43" s="55">
        <v>3</v>
      </c>
      <c r="B43" s="65">
        <v>199037</v>
      </c>
      <c r="C43" s="66">
        <v>173498</v>
      </c>
      <c r="D43" s="67">
        <f t="shared" si="2"/>
        <v>372535</v>
      </c>
    </row>
    <row r="44" spans="1:4" x14ac:dyDescent="0.25">
      <c r="A44" s="55">
        <v>4</v>
      </c>
      <c r="B44" s="66">
        <v>170931</v>
      </c>
      <c r="C44" s="66">
        <v>162849</v>
      </c>
      <c r="D44" s="67">
        <f t="shared" si="2"/>
        <v>333780</v>
      </c>
    </row>
    <row r="45" spans="1:4" ht="15.75" x14ac:dyDescent="0.25">
      <c r="A45" s="56">
        <v>5</v>
      </c>
      <c r="B45" s="66">
        <v>217829</v>
      </c>
      <c r="C45" s="66">
        <v>177771</v>
      </c>
      <c r="D45" s="67">
        <f t="shared" si="2"/>
        <v>395600</v>
      </c>
    </row>
    <row r="46" spans="1:4" x14ac:dyDescent="0.25">
      <c r="A46" s="55">
        <v>6</v>
      </c>
      <c r="B46" s="66">
        <v>122369</v>
      </c>
      <c r="C46" s="66">
        <v>71599</v>
      </c>
      <c r="D46" s="67">
        <f t="shared" si="2"/>
        <v>193968</v>
      </c>
    </row>
    <row r="47" spans="1:4" x14ac:dyDescent="0.25">
      <c r="A47" s="52">
        <v>7</v>
      </c>
      <c r="B47" s="68">
        <v>254878</v>
      </c>
      <c r="C47" s="68">
        <v>97769</v>
      </c>
      <c r="D47" s="67">
        <f t="shared" si="2"/>
        <v>352647</v>
      </c>
    </row>
    <row r="48" spans="1:4" ht="15.75" x14ac:dyDescent="0.25">
      <c r="A48" s="56">
        <v>8</v>
      </c>
      <c r="B48" s="68">
        <v>204606</v>
      </c>
      <c r="C48" s="68">
        <v>166068</v>
      </c>
      <c r="D48" s="67">
        <f t="shared" si="2"/>
        <v>370674</v>
      </c>
    </row>
    <row r="49" spans="1:4" ht="15.75" x14ac:dyDescent="0.25">
      <c r="A49" s="56">
        <v>9</v>
      </c>
      <c r="B49" s="66">
        <v>269667</v>
      </c>
      <c r="C49" s="66">
        <v>78408</v>
      </c>
      <c r="D49" s="67">
        <f t="shared" si="2"/>
        <v>348075</v>
      </c>
    </row>
    <row r="50" spans="1:4" ht="15.75" x14ac:dyDescent="0.25">
      <c r="A50" s="56">
        <v>10</v>
      </c>
      <c r="B50" s="66">
        <v>174822</v>
      </c>
      <c r="C50" s="66">
        <v>92834</v>
      </c>
      <c r="D50" s="67">
        <f t="shared" si="2"/>
        <v>267656</v>
      </c>
    </row>
    <row r="51" spans="1:4" x14ac:dyDescent="0.25">
      <c r="A51" s="55">
        <v>11</v>
      </c>
      <c r="B51" s="69">
        <v>122132</v>
      </c>
      <c r="C51" s="69">
        <v>78135</v>
      </c>
      <c r="D51" s="67">
        <f t="shared" si="2"/>
        <v>200267</v>
      </c>
    </row>
    <row r="52" spans="1:4" ht="15.75" thickBot="1" x14ac:dyDescent="0.3">
      <c r="A52" s="60">
        <v>12</v>
      </c>
      <c r="B52" s="70">
        <v>243833</v>
      </c>
      <c r="C52" s="70">
        <v>78117</v>
      </c>
      <c r="D52" s="67">
        <f t="shared" si="2"/>
        <v>321950</v>
      </c>
    </row>
    <row r="53" spans="1:4" ht="20.25" thickBot="1" x14ac:dyDescent="0.3">
      <c r="A53" s="23" t="s">
        <v>7</v>
      </c>
      <c r="B53" s="71">
        <f>SUM(B41:B52)</f>
        <v>2374101</v>
      </c>
      <c r="C53" s="71">
        <f>SUM(C41:C52)</f>
        <v>1393335</v>
      </c>
      <c r="D53" s="72">
        <f>SUM(D41:D52)</f>
        <v>3767436</v>
      </c>
    </row>
    <row r="54" spans="1:4" ht="15.75" thickBot="1" x14ac:dyDescent="0.3"/>
    <row r="55" spans="1:4" ht="20.25" thickBot="1" x14ac:dyDescent="0.45">
      <c r="A55" s="37">
        <v>2019</v>
      </c>
      <c r="B55" s="106" t="s">
        <v>8</v>
      </c>
      <c r="C55" s="107"/>
      <c r="D55" s="108"/>
    </row>
    <row r="56" spans="1:4" x14ac:dyDescent="0.25">
      <c r="A56" s="14" t="s">
        <v>1</v>
      </c>
      <c r="B56" s="113" t="s">
        <v>2</v>
      </c>
      <c r="C56" s="114"/>
      <c r="D56" s="115" t="s">
        <v>3</v>
      </c>
    </row>
    <row r="57" spans="1:4" ht="15.75" thickBot="1" x14ac:dyDescent="0.3">
      <c r="A57" s="15" t="s">
        <v>4</v>
      </c>
      <c r="B57" s="16" t="s">
        <v>5</v>
      </c>
      <c r="C57" s="17" t="s">
        <v>6</v>
      </c>
      <c r="D57" s="111"/>
    </row>
    <row r="58" spans="1:4" x14ac:dyDescent="0.25">
      <c r="A58" s="18">
        <v>1</v>
      </c>
      <c r="B58" s="65">
        <v>224945</v>
      </c>
      <c r="C58" s="65">
        <v>79449</v>
      </c>
      <c r="D58" s="67">
        <f t="shared" ref="D58:D69" si="3">+SUM(B58:C58)</f>
        <v>304394</v>
      </c>
    </row>
    <row r="59" spans="1:4" x14ac:dyDescent="0.25">
      <c r="A59" s="19">
        <v>2</v>
      </c>
      <c r="B59" s="65">
        <v>285167</v>
      </c>
      <c r="C59" s="65">
        <v>66666</v>
      </c>
      <c r="D59" s="67">
        <f t="shared" si="3"/>
        <v>351833</v>
      </c>
    </row>
    <row r="60" spans="1:4" x14ac:dyDescent="0.25">
      <c r="A60" s="19">
        <v>3</v>
      </c>
      <c r="B60" s="65">
        <v>91382</v>
      </c>
      <c r="C60" s="66">
        <v>38154</v>
      </c>
      <c r="D60" s="67">
        <f t="shared" si="3"/>
        <v>129536</v>
      </c>
    </row>
    <row r="61" spans="1:4" x14ac:dyDescent="0.25">
      <c r="A61" s="19">
        <v>4</v>
      </c>
      <c r="B61" s="66">
        <v>364908</v>
      </c>
      <c r="C61" s="66">
        <v>74414</v>
      </c>
      <c r="D61" s="67">
        <f t="shared" si="3"/>
        <v>439322</v>
      </c>
    </row>
    <row r="62" spans="1:4" ht="15.75" x14ac:dyDescent="0.25">
      <c r="A62" s="20">
        <v>5</v>
      </c>
      <c r="B62" s="66">
        <v>311424</v>
      </c>
      <c r="C62" s="66">
        <v>96569</v>
      </c>
      <c r="D62" s="67">
        <f t="shared" si="3"/>
        <v>407993</v>
      </c>
    </row>
    <row r="63" spans="1:4" x14ac:dyDescent="0.25">
      <c r="A63" s="19">
        <v>6</v>
      </c>
      <c r="B63" s="66">
        <v>57783</v>
      </c>
      <c r="C63" s="66">
        <v>52952</v>
      </c>
      <c r="D63" s="67">
        <f t="shared" si="3"/>
        <v>110735</v>
      </c>
    </row>
    <row r="64" spans="1:4" x14ac:dyDescent="0.25">
      <c r="A64" s="21">
        <v>7</v>
      </c>
      <c r="B64" s="68">
        <v>400383</v>
      </c>
      <c r="C64" s="68">
        <v>63244</v>
      </c>
      <c r="D64" s="67">
        <f t="shared" si="3"/>
        <v>463627</v>
      </c>
    </row>
    <row r="65" spans="1:4" ht="15.75" x14ac:dyDescent="0.25">
      <c r="A65" s="20">
        <v>8</v>
      </c>
      <c r="B65" s="68">
        <v>59650</v>
      </c>
      <c r="C65" s="68">
        <v>69825</v>
      </c>
      <c r="D65" s="67">
        <f t="shared" si="3"/>
        <v>129475</v>
      </c>
    </row>
    <row r="66" spans="1:4" ht="15.75" x14ac:dyDescent="0.25">
      <c r="A66" s="20">
        <v>9</v>
      </c>
      <c r="B66" s="66">
        <v>118464</v>
      </c>
      <c r="C66" s="66">
        <v>50528</v>
      </c>
      <c r="D66" s="67">
        <f t="shared" si="3"/>
        <v>168992</v>
      </c>
    </row>
    <row r="67" spans="1:4" ht="15.75" x14ac:dyDescent="0.25">
      <c r="A67" s="20">
        <v>10</v>
      </c>
      <c r="B67" s="66">
        <v>215251</v>
      </c>
      <c r="C67" s="66">
        <v>80706</v>
      </c>
      <c r="D67" s="67">
        <f t="shared" si="3"/>
        <v>295957</v>
      </c>
    </row>
    <row r="68" spans="1:4" x14ac:dyDescent="0.25">
      <c r="A68" s="19">
        <v>11</v>
      </c>
      <c r="B68" s="69">
        <v>264059</v>
      </c>
      <c r="C68" s="69">
        <v>87419</v>
      </c>
      <c r="D68" s="67">
        <f t="shared" si="3"/>
        <v>351478</v>
      </c>
    </row>
    <row r="69" spans="1:4" ht="15.75" thickBot="1" x14ac:dyDescent="0.3">
      <c r="A69" s="22">
        <v>12</v>
      </c>
      <c r="B69" s="70">
        <v>125762</v>
      </c>
      <c r="C69" s="70">
        <v>74345</v>
      </c>
      <c r="D69" s="67">
        <f t="shared" si="3"/>
        <v>200107</v>
      </c>
    </row>
    <row r="70" spans="1:4" ht="20.25" thickBot="1" x14ac:dyDescent="0.3">
      <c r="A70" s="23" t="s">
        <v>7</v>
      </c>
      <c r="B70" s="24">
        <f>+B58+B59+B60+B61+B62+B63+B64+B65+B66+B67+B68+B69</f>
        <v>2519178</v>
      </c>
      <c r="C70" s="24">
        <f t="shared" ref="C70" si="4">+C58+C59+C60+C61+C62+C63+C64+C65+C66+C67+C68+C69</f>
        <v>834271</v>
      </c>
      <c r="D70" s="25">
        <f>SUM(D58:D69)</f>
        <v>3353449</v>
      </c>
    </row>
    <row r="71" spans="1:4" ht="15.75" thickBot="1" x14ac:dyDescent="0.3"/>
    <row r="72" spans="1:4" ht="20.25" thickBot="1" x14ac:dyDescent="0.45">
      <c r="A72" s="37">
        <v>2020</v>
      </c>
      <c r="B72" s="106" t="s">
        <v>8</v>
      </c>
      <c r="C72" s="107"/>
      <c r="D72" s="108"/>
    </row>
    <row r="73" spans="1:4" x14ac:dyDescent="0.25">
      <c r="A73" s="14" t="s">
        <v>1</v>
      </c>
      <c r="B73" s="113" t="s">
        <v>2</v>
      </c>
      <c r="C73" s="114"/>
      <c r="D73" s="115" t="s">
        <v>3</v>
      </c>
    </row>
    <row r="74" spans="1:4" ht="15.75" thickBot="1" x14ac:dyDescent="0.3">
      <c r="A74" s="15" t="s">
        <v>4</v>
      </c>
      <c r="B74" s="16" t="s">
        <v>5</v>
      </c>
      <c r="C74" s="17" t="s">
        <v>6</v>
      </c>
      <c r="D74" s="111"/>
    </row>
    <row r="75" spans="1:4" x14ac:dyDescent="0.25">
      <c r="A75" s="18">
        <v>1</v>
      </c>
      <c r="B75" s="26">
        <v>318034</v>
      </c>
      <c r="C75" s="27">
        <v>75832</v>
      </c>
      <c r="D75" s="67">
        <f t="shared" ref="D75:D86" si="5">+SUM(B75:C75)</f>
        <v>393866</v>
      </c>
    </row>
    <row r="76" spans="1:4" x14ac:dyDescent="0.25">
      <c r="A76" s="19">
        <v>2</v>
      </c>
      <c r="B76" s="28">
        <v>328659</v>
      </c>
      <c r="C76" s="29">
        <v>63425</v>
      </c>
      <c r="D76" s="67">
        <f t="shared" si="5"/>
        <v>392084</v>
      </c>
    </row>
    <row r="77" spans="1:4" x14ac:dyDescent="0.25">
      <c r="A77" s="19">
        <v>3</v>
      </c>
      <c r="B77" s="28">
        <v>209531</v>
      </c>
      <c r="C77" s="29">
        <v>45289</v>
      </c>
      <c r="D77" s="67">
        <f t="shared" si="5"/>
        <v>254820</v>
      </c>
    </row>
    <row r="78" spans="1:4" x14ac:dyDescent="0.25">
      <c r="A78" s="19">
        <v>4</v>
      </c>
      <c r="B78" s="28">
        <v>167104</v>
      </c>
      <c r="C78" s="29">
        <v>3158</v>
      </c>
      <c r="D78" s="67">
        <f t="shared" si="5"/>
        <v>170262</v>
      </c>
    </row>
    <row r="79" spans="1:4" ht="15.75" x14ac:dyDescent="0.25">
      <c r="A79" s="20">
        <v>5</v>
      </c>
      <c r="B79" s="30">
        <v>138286</v>
      </c>
      <c r="C79" s="31">
        <v>4908</v>
      </c>
      <c r="D79" s="67">
        <f t="shared" si="5"/>
        <v>143194</v>
      </c>
    </row>
    <row r="80" spans="1:4" x14ac:dyDescent="0.25">
      <c r="A80" s="19">
        <v>6</v>
      </c>
      <c r="B80" s="30">
        <v>312113</v>
      </c>
      <c r="C80" s="31">
        <v>10835</v>
      </c>
      <c r="D80" s="67">
        <f t="shared" si="5"/>
        <v>322948</v>
      </c>
    </row>
    <row r="81" spans="1:4" x14ac:dyDescent="0.25">
      <c r="A81" s="21">
        <v>7</v>
      </c>
      <c r="B81" s="28">
        <v>241496</v>
      </c>
      <c r="C81" s="29">
        <v>9986</v>
      </c>
      <c r="D81" s="67">
        <f t="shared" si="5"/>
        <v>251482</v>
      </c>
    </row>
    <row r="82" spans="1:4" ht="15.75" x14ac:dyDescent="0.25">
      <c r="A82" s="20">
        <v>8</v>
      </c>
      <c r="B82" s="28">
        <v>242127</v>
      </c>
      <c r="C82" s="29">
        <v>67571</v>
      </c>
      <c r="D82" s="67">
        <f t="shared" si="5"/>
        <v>309698</v>
      </c>
    </row>
    <row r="83" spans="1:4" ht="15.75" x14ac:dyDescent="0.25">
      <c r="A83" s="20">
        <v>9</v>
      </c>
      <c r="B83" s="30">
        <v>159904</v>
      </c>
      <c r="C83" s="31">
        <v>27555</v>
      </c>
      <c r="D83" s="67">
        <f t="shared" si="5"/>
        <v>187459</v>
      </c>
    </row>
    <row r="84" spans="1:4" ht="15.75" x14ac:dyDescent="0.25">
      <c r="A84" s="20">
        <v>10</v>
      </c>
      <c r="B84" s="30">
        <v>138989</v>
      </c>
      <c r="C84" s="31">
        <v>43811</v>
      </c>
      <c r="D84" s="67">
        <f t="shared" si="5"/>
        <v>182800</v>
      </c>
    </row>
    <row r="85" spans="1:4" x14ac:dyDescent="0.25">
      <c r="A85" s="19">
        <v>11</v>
      </c>
      <c r="B85" s="32">
        <v>0</v>
      </c>
      <c r="C85" s="33">
        <v>49556</v>
      </c>
      <c r="D85" s="67">
        <f t="shared" si="5"/>
        <v>49556</v>
      </c>
    </row>
    <row r="86" spans="1:4" ht="15.75" thickBot="1" x14ac:dyDescent="0.3">
      <c r="A86" s="22">
        <v>12</v>
      </c>
      <c r="B86" s="34">
        <v>175616</v>
      </c>
      <c r="C86" s="35">
        <v>33726</v>
      </c>
      <c r="D86" s="67">
        <f t="shared" si="5"/>
        <v>209342</v>
      </c>
    </row>
    <row r="87" spans="1:4" ht="20.25" thickBot="1" x14ac:dyDescent="0.3">
      <c r="A87" s="23" t="s">
        <v>7</v>
      </c>
      <c r="B87" s="24">
        <f>+B75+B76+B77+B78+B79+B80+B81+B82+B83+B84+B85+B86</f>
        <v>2431859</v>
      </c>
      <c r="C87" s="24">
        <f t="shared" ref="C87" si="6">+C75+C76+C77+C78+C79+C80+C81+C82+C83+C84+C85+C86</f>
        <v>435652</v>
      </c>
      <c r="D87" s="25">
        <f>SUM(D75:D86)</f>
        <v>2867511</v>
      </c>
    </row>
    <row r="88" spans="1:4" ht="15.75" thickBot="1" x14ac:dyDescent="0.3"/>
    <row r="89" spans="1:4" ht="20.25" thickBot="1" x14ac:dyDescent="0.45">
      <c r="A89" s="38">
        <v>2021</v>
      </c>
      <c r="B89" s="103" t="s">
        <v>0</v>
      </c>
      <c r="C89" s="103"/>
      <c r="D89" s="103"/>
    </row>
    <row r="90" spans="1:4" ht="15.75" thickBot="1" x14ac:dyDescent="0.3">
      <c r="A90" s="1" t="s">
        <v>1</v>
      </c>
      <c r="B90" s="104" t="s">
        <v>2</v>
      </c>
      <c r="C90" s="104"/>
      <c r="D90" s="105" t="s">
        <v>3</v>
      </c>
    </row>
    <row r="91" spans="1:4" ht="15.75" thickBot="1" x14ac:dyDescent="0.3">
      <c r="A91" s="36" t="s">
        <v>4</v>
      </c>
      <c r="B91" s="3" t="s">
        <v>5</v>
      </c>
      <c r="C91" s="4" t="s">
        <v>6</v>
      </c>
      <c r="D91" s="105"/>
    </row>
    <row r="92" spans="1:4" x14ac:dyDescent="0.25">
      <c r="A92" s="5">
        <v>1</v>
      </c>
      <c r="B92" s="39">
        <v>89624</v>
      </c>
      <c r="C92" s="40">
        <v>48976</v>
      </c>
      <c r="D92" s="67">
        <f t="shared" ref="D92:D103" si="7">+SUM(B92:C92)</f>
        <v>138600</v>
      </c>
    </row>
    <row r="93" spans="1:4" x14ac:dyDescent="0.25">
      <c r="A93" s="6">
        <v>2</v>
      </c>
      <c r="B93" s="41">
        <v>53535</v>
      </c>
      <c r="C93" s="42">
        <v>33217</v>
      </c>
      <c r="D93" s="67">
        <f t="shared" si="7"/>
        <v>86752</v>
      </c>
    </row>
    <row r="94" spans="1:4" x14ac:dyDescent="0.25">
      <c r="A94" s="6">
        <v>3</v>
      </c>
      <c r="B94" s="41">
        <v>65551</v>
      </c>
      <c r="C94" s="42">
        <v>49403</v>
      </c>
      <c r="D94" s="67">
        <f t="shared" si="7"/>
        <v>114954</v>
      </c>
    </row>
    <row r="95" spans="1:4" x14ac:dyDescent="0.25">
      <c r="A95" s="6">
        <v>4</v>
      </c>
      <c r="B95" s="41">
        <v>90131</v>
      </c>
      <c r="C95" s="42">
        <v>26356</v>
      </c>
      <c r="D95" s="67">
        <f t="shared" si="7"/>
        <v>116487</v>
      </c>
    </row>
    <row r="96" spans="1:4" ht="15.75" x14ac:dyDescent="0.25">
      <c r="A96" s="7">
        <v>5</v>
      </c>
      <c r="B96" s="41">
        <v>21723</v>
      </c>
      <c r="C96" s="42">
        <v>17753</v>
      </c>
      <c r="D96" s="67">
        <f t="shared" si="7"/>
        <v>39476</v>
      </c>
    </row>
    <row r="97" spans="1:4" x14ac:dyDescent="0.25">
      <c r="A97" s="6">
        <v>6</v>
      </c>
      <c r="B97" s="41">
        <v>449568</v>
      </c>
      <c r="C97" s="42">
        <v>22578</v>
      </c>
      <c r="D97" s="67">
        <f t="shared" si="7"/>
        <v>472146</v>
      </c>
    </row>
    <row r="98" spans="1:4" x14ac:dyDescent="0.25">
      <c r="A98" s="8">
        <v>7</v>
      </c>
      <c r="B98" s="41">
        <v>441776</v>
      </c>
      <c r="C98" s="42">
        <v>22654</v>
      </c>
      <c r="D98" s="67">
        <f t="shared" si="7"/>
        <v>464430</v>
      </c>
    </row>
    <row r="99" spans="1:4" ht="15.75" x14ac:dyDescent="0.25">
      <c r="A99" s="7">
        <v>8</v>
      </c>
      <c r="B99" s="41">
        <v>275443</v>
      </c>
      <c r="C99" s="42">
        <v>37884</v>
      </c>
      <c r="D99" s="67">
        <f t="shared" si="7"/>
        <v>313327</v>
      </c>
    </row>
    <row r="100" spans="1:4" ht="15.75" x14ac:dyDescent="0.25">
      <c r="A100" s="7">
        <v>9</v>
      </c>
      <c r="B100" s="41">
        <v>787677</v>
      </c>
      <c r="C100" s="42">
        <v>45782</v>
      </c>
      <c r="D100" s="67">
        <f t="shared" si="7"/>
        <v>833459</v>
      </c>
    </row>
    <row r="101" spans="1:4" ht="15.75" x14ac:dyDescent="0.25">
      <c r="A101" s="7">
        <v>10</v>
      </c>
      <c r="B101" s="41">
        <v>102942</v>
      </c>
      <c r="C101" s="42">
        <v>48780</v>
      </c>
      <c r="D101" s="67">
        <f t="shared" si="7"/>
        <v>151722</v>
      </c>
    </row>
    <row r="102" spans="1:4" x14ac:dyDescent="0.25">
      <c r="A102" s="6">
        <v>11</v>
      </c>
      <c r="B102" s="43">
        <v>202780</v>
      </c>
      <c r="C102" s="44">
        <v>44161</v>
      </c>
      <c r="D102" s="67">
        <f t="shared" si="7"/>
        <v>246941</v>
      </c>
    </row>
    <row r="103" spans="1:4" ht="15.75" thickBot="1" x14ac:dyDescent="0.3">
      <c r="A103" s="9">
        <v>12</v>
      </c>
      <c r="B103" s="45">
        <v>136705</v>
      </c>
      <c r="C103" s="46">
        <v>60137</v>
      </c>
      <c r="D103" s="67">
        <f t="shared" si="7"/>
        <v>196842</v>
      </c>
    </row>
    <row r="104" spans="1:4" ht="20.25" thickBot="1" x14ac:dyDescent="0.3">
      <c r="A104" s="10" t="s">
        <v>7</v>
      </c>
      <c r="B104" s="11">
        <f>+B92+B93+B94+B95+B96+B97+B98+B99+B100+B101+B102+B103</f>
        <v>2717455</v>
      </c>
      <c r="C104" s="11">
        <f>+C92+C93+C94+C95+C96+C97+C98+C99+C100+C101+C102+C103</f>
        <v>457681</v>
      </c>
      <c r="D104" s="12">
        <f>SUM(D92:D103)</f>
        <v>3175136</v>
      </c>
    </row>
    <row r="105" spans="1:4" ht="15.75" thickBot="1" x14ac:dyDescent="0.3"/>
    <row r="106" spans="1:4" ht="20.25" thickBot="1" x14ac:dyDescent="0.45">
      <c r="A106" s="38">
        <v>2022</v>
      </c>
      <c r="B106" s="103" t="s">
        <v>0</v>
      </c>
      <c r="C106" s="103"/>
      <c r="D106" s="103"/>
    </row>
    <row r="107" spans="1:4" ht="15.75" thickBot="1" x14ac:dyDescent="0.3">
      <c r="A107" s="1" t="s">
        <v>1</v>
      </c>
      <c r="B107" s="104" t="s">
        <v>2</v>
      </c>
      <c r="C107" s="104"/>
      <c r="D107" s="105" t="s">
        <v>3</v>
      </c>
    </row>
    <row r="108" spans="1:4" ht="15.75" thickBot="1" x14ac:dyDescent="0.3">
      <c r="A108" s="36" t="s">
        <v>4</v>
      </c>
      <c r="B108" s="3" t="s">
        <v>5</v>
      </c>
      <c r="C108" s="4" t="s">
        <v>6</v>
      </c>
      <c r="D108" s="105"/>
    </row>
    <row r="109" spans="1:4" x14ac:dyDescent="0.25">
      <c r="A109" s="5">
        <v>1</v>
      </c>
      <c r="B109" s="39">
        <v>88306</v>
      </c>
      <c r="C109" s="40">
        <v>43248</v>
      </c>
      <c r="D109" s="67">
        <f t="shared" ref="D109:D120" si="8">+SUM(B109:C109)</f>
        <v>131554</v>
      </c>
    </row>
    <row r="110" spans="1:4" x14ac:dyDescent="0.25">
      <c r="A110" s="6">
        <v>2</v>
      </c>
      <c r="B110" s="41">
        <v>106173</v>
      </c>
      <c r="C110" s="42">
        <v>47435</v>
      </c>
      <c r="D110" s="67">
        <f t="shared" si="8"/>
        <v>153608</v>
      </c>
    </row>
    <row r="111" spans="1:4" x14ac:dyDescent="0.25">
      <c r="A111" s="6">
        <v>3</v>
      </c>
      <c r="B111" s="41">
        <v>176171</v>
      </c>
      <c r="C111" s="42">
        <v>68325</v>
      </c>
      <c r="D111" s="67">
        <f t="shared" si="8"/>
        <v>244496</v>
      </c>
    </row>
    <row r="112" spans="1:4" x14ac:dyDescent="0.25">
      <c r="A112" s="6">
        <v>4</v>
      </c>
      <c r="B112" s="41">
        <v>93411</v>
      </c>
      <c r="C112" s="42">
        <v>73762</v>
      </c>
      <c r="D112" s="67">
        <f t="shared" si="8"/>
        <v>167173</v>
      </c>
    </row>
    <row r="113" spans="1:4" ht="15.75" x14ac:dyDescent="0.25">
      <c r="A113" s="7">
        <v>5</v>
      </c>
      <c r="B113" s="41">
        <v>144548</v>
      </c>
      <c r="C113" s="42">
        <v>69691</v>
      </c>
      <c r="D113" s="67">
        <f t="shared" si="8"/>
        <v>214239</v>
      </c>
    </row>
    <row r="114" spans="1:4" x14ac:dyDescent="0.25">
      <c r="A114" s="6">
        <v>6</v>
      </c>
      <c r="B114" s="41">
        <v>172421</v>
      </c>
      <c r="C114" s="42">
        <v>58333</v>
      </c>
      <c r="D114" s="67">
        <f t="shared" si="8"/>
        <v>230754</v>
      </c>
    </row>
    <row r="115" spans="1:4" x14ac:dyDescent="0.25">
      <c r="A115" s="8">
        <v>7</v>
      </c>
      <c r="B115" s="41">
        <v>147167</v>
      </c>
      <c r="C115" s="42">
        <v>66281</v>
      </c>
      <c r="D115" s="67">
        <f t="shared" si="8"/>
        <v>213448</v>
      </c>
    </row>
    <row r="116" spans="1:4" ht="15.75" x14ac:dyDescent="0.25">
      <c r="A116" s="7">
        <v>8</v>
      </c>
      <c r="B116" s="41">
        <v>176296</v>
      </c>
      <c r="C116" s="42">
        <v>71896</v>
      </c>
      <c r="D116" s="67">
        <f t="shared" si="8"/>
        <v>248192</v>
      </c>
    </row>
    <row r="117" spans="1:4" ht="15.75" x14ac:dyDescent="0.25">
      <c r="A117" s="7">
        <v>9</v>
      </c>
      <c r="B117" s="41">
        <v>119348</v>
      </c>
      <c r="C117" s="42">
        <v>70797</v>
      </c>
      <c r="D117" s="67">
        <f t="shared" si="8"/>
        <v>190145</v>
      </c>
    </row>
    <row r="118" spans="1:4" ht="15.75" x14ac:dyDescent="0.25">
      <c r="A118" s="7">
        <v>10</v>
      </c>
      <c r="B118" s="41">
        <v>98483</v>
      </c>
      <c r="C118" s="42">
        <v>56605</v>
      </c>
      <c r="D118" s="67">
        <f t="shared" si="8"/>
        <v>155088</v>
      </c>
    </row>
    <row r="119" spans="1:4" x14ac:dyDescent="0.25">
      <c r="A119" s="6">
        <v>11</v>
      </c>
      <c r="B119" s="43">
        <v>189473</v>
      </c>
      <c r="C119" s="44">
        <v>64491</v>
      </c>
      <c r="D119" s="67">
        <f t="shared" si="8"/>
        <v>253964</v>
      </c>
    </row>
    <row r="120" spans="1:4" ht="15.75" thickBot="1" x14ac:dyDescent="0.3">
      <c r="A120" s="9">
        <v>12</v>
      </c>
      <c r="B120" s="45">
        <v>123245</v>
      </c>
      <c r="C120" s="46">
        <v>71070</v>
      </c>
      <c r="D120" s="67">
        <f t="shared" si="8"/>
        <v>194315</v>
      </c>
    </row>
    <row r="121" spans="1:4" ht="20.25" thickBot="1" x14ac:dyDescent="0.3">
      <c r="A121" s="10" t="s">
        <v>7</v>
      </c>
      <c r="B121" s="11">
        <f>+B109+B110+B111+B112+B113+B114+B115+B116+B117+B118+B119+B120</f>
        <v>1635042</v>
      </c>
      <c r="C121" s="11">
        <f>+C109+C110+C111+C112+C113+C114+C115+C116+C117+C118+C119+C120</f>
        <v>761934</v>
      </c>
      <c r="D121" s="12">
        <f>SUM(D109:D120)</f>
        <v>2396976</v>
      </c>
    </row>
    <row r="122" spans="1:4" ht="15.75" thickBot="1" x14ac:dyDescent="0.3"/>
    <row r="123" spans="1:4" ht="20.25" thickBot="1" x14ac:dyDescent="0.45">
      <c r="A123" s="38">
        <v>2023</v>
      </c>
      <c r="B123" s="103" t="s">
        <v>0</v>
      </c>
      <c r="C123" s="103"/>
      <c r="D123" s="103"/>
    </row>
    <row r="124" spans="1:4" ht="15.75" thickBot="1" x14ac:dyDescent="0.3">
      <c r="A124" s="1" t="s">
        <v>1</v>
      </c>
      <c r="B124" s="104" t="s">
        <v>2</v>
      </c>
      <c r="C124" s="104"/>
      <c r="D124" s="105" t="s">
        <v>3</v>
      </c>
    </row>
    <row r="125" spans="1:4" ht="15.75" thickBot="1" x14ac:dyDescent="0.3">
      <c r="A125" s="2" t="s">
        <v>4</v>
      </c>
      <c r="B125" s="3" t="s">
        <v>5</v>
      </c>
      <c r="C125" s="4" t="s">
        <v>6</v>
      </c>
      <c r="D125" s="105"/>
    </row>
    <row r="126" spans="1:4" x14ac:dyDescent="0.25">
      <c r="A126" s="5">
        <v>1</v>
      </c>
      <c r="B126" s="39">
        <v>177407</v>
      </c>
      <c r="C126" s="40">
        <v>77066</v>
      </c>
      <c r="D126" s="67">
        <f t="shared" ref="D126:D137" si="9">+SUM(B126:C126)</f>
        <v>254473</v>
      </c>
    </row>
    <row r="127" spans="1:4" x14ac:dyDescent="0.25">
      <c r="A127" s="6">
        <v>2</v>
      </c>
      <c r="B127" s="41">
        <v>236322</v>
      </c>
      <c r="C127" s="42">
        <v>57270</v>
      </c>
      <c r="D127" s="67">
        <f t="shared" si="9"/>
        <v>293592</v>
      </c>
    </row>
    <row r="128" spans="1:4" x14ac:dyDescent="0.25">
      <c r="A128" s="6">
        <v>3</v>
      </c>
      <c r="B128" s="41">
        <v>88808</v>
      </c>
      <c r="C128" s="42">
        <v>61971</v>
      </c>
      <c r="D128" s="67">
        <f t="shared" si="9"/>
        <v>150779</v>
      </c>
    </row>
    <row r="129" spans="1:4" x14ac:dyDescent="0.25">
      <c r="A129" s="6">
        <v>4</v>
      </c>
      <c r="B129" s="41">
        <v>252375</v>
      </c>
      <c r="C129" s="42">
        <v>62654</v>
      </c>
      <c r="D129" s="67">
        <f t="shared" si="9"/>
        <v>315029</v>
      </c>
    </row>
    <row r="130" spans="1:4" ht="15.75" x14ac:dyDescent="0.25">
      <c r="A130" s="7">
        <v>5</v>
      </c>
      <c r="B130" s="41">
        <v>202729</v>
      </c>
      <c r="C130" s="42">
        <v>63853</v>
      </c>
      <c r="D130" s="67">
        <f t="shared" si="9"/>
        <v>266582</v>
      </c>
    </row>
    <row r="131" spans="1:4" x14ac:dyDescent="0.25">
      <c r="A131" s="6">
        <v>6</v>
      </c>
      <c r="B131" s="41">
        <v>164428</v>
      </c>
      <c r="C131" s="42">
        <v>63874</v>
      </c>
      <c r="D131" s="67">
        <f t="shared" si="9"/>
        <v>228302</v>
      </c>
    </row>
    <row r="132" spans="1:4" x14ac:dyDescent="0.25">
      <c r="A132" s="8">
        <v>7</v>
      </c>
      <c r="B132" s="41">
        <v>115764</v>
      </c>
      <c r="C132" s="42">
        <v>60342</v>
      </c>
      <c r="D132" s="67">
        <f t="shared" si="9"/>
        <v>176106</v>
      </c>
    </row>
    <row r="133" spans="1:4" ht="15.75" x14ac:dyDescent="0.25">
      <c r="A133" s="7">
        <v>8</v>
      </c>
      <c r="B133" s="41">
        <v>141460</v>
      </c>
      <c r="C133" s="42">
        <v>68784</v>
      </c>
      <c r="D133" s="67">
        <f t="shared" si="9"/>
        <v>210244</v>
      </c>
    </row>
    <row r="134" spans="1:4" ht="15.75" x14ac:dyDescent="0.25">
      <c r="A134" s="7">
        <v>9</v>
      </c>
      <c r="B134" s="41">
        <v>120667</v>
      </c>
      <c r="C134" s="42">
        <v>69385</v>
      </c>
      <c r="D134" s="67">
        <f t="shared" si="9"/>
        <v>190052</v>
      </c>
    </row>
    <row r="135" spans="1:4" ht="15.75" x14ac:dyDescent="0.25">
      <c r="A135" s="7">
        <v>10</v>
      </c>
      <c r="B135" s="41">
        <v>94505</v>
      </c>
      <c r="C135" s="42">
        <v>62498</v>
      </c>
      <c r="D135" s="67">
        <f t="shared" si="9"/>
        <v>157003</v>
      </c>
    </row>
    <row r="136" spans="1:4" x14ac:dyDescent="0.25">
      <c r="A136" s="6">
        <v>11</v>
      </c>
      <c r="B136" s="43">
        <v>224380</v>
      </c>
      <c r="C136" s="44">
        <v>57486</v>
      </c>
      <c r="D136" s="67">
        <f t="shared" si="9"/>
        <v>281866</v>
      </c>
    </row>
    <row r="137" spans="1:4" ht="15.75" thickBot="1" x14ac:dyDescent="0.3">
      <c r="A137" s="9">
        <v>12</v>
      </c>
      <c r="B137" s="47">
        <v>151861</v>
      </c>
      <c r="C137" s="46">
        <v>54623</v>
      </c>
      <c r="D137" s="67">
        <f t="shared" si="9"/>
        <v>206484</v>
      </c>
    </row>
    <row r="138" spans="1:4" ht="20.25" thickBot="1" x14ac:dyDescent="0.3">
      <c r="A138" s="10" t="s">
        <v>7</v>
      </c>
      <c r="B138" s="11">
        <f>+B126+B127+B128+B129+B130+B131+B132+B133+B134+B135+B136+B137</f>
        <v>1970706</v>
      </c>
      <c r="C138" s="11">
        <f>+C126+C127+C128+C129+C130+C131+C132+C133+C134+C135+C136+C137</f>
        <v>759806</v>
      </c>
      <c r="D138" s="12">
        <f>SUM(D126:D137)</f>
        <v>2730512</v>
      </c>
    </row>
    <row r="139" spans="1:4" ht="15.75" thickBot="1" x14ac:dyDescent="0.3"/>
    <row r="140" spans="1:4" ht="20.25" thickBot="1" x14ac:dyDescent="0.45">
      <c r="A140" s="38">
        <v>2024</v>
      </c>
      <c r="B140" s="103" t="s">
        <v>0</v>
      </c>
      <c r="C140" s="103"/>
      <c r="D140" s="103"/>
    </row>
    <row r="141" spans="1:4" ht="15.75" thickBot="1" x14ac:dyDescent="0.3">
      <c r="A141" s="1" t="s">
        <v>1</v>
      </c>
      <c r="B141" s="104" t="s">
        <v>2</v>
      </c>
      <c r="C141" s="104"/>
      <c r="D141" s="105" t="s">
        <v>3</v>
      </c>
    </row>
    <row r="142" spans="1:4" ht="15.75" thickBot="1" x14ac:dyDescent="0.3">
      <c r="A142" s="36" t="s">
        <v>4</v>
      </c>
      <c r="B142" s="94" t="s">
        <v>5</v>
      </c>
      <c r="C142" s="4" t="s">
        <v>6</v>
      </c>
      <c r="D142" s="105"/>
    </row>
    <row r="143" spans="1:4" x14ac:dyDescent="0.25">
      <c r="A143" s="5">
        <v>1</v>
      </c>
      <c r="B143" s="39">
        <v>232492</v>
      </c>
      <c r="C143" s="40">
        <v>34285</v>
      </c>
      <c r="D143" s="67">
        <f t="shared" ref="D143:D154" si="10">+SUM(B143:C143)</f>
        <v>266777</v>
      </c>
    </row>
    <row r="144" spans="1:4" x14ac:dyDescent="0.25">
      <c r="A144" s="95">
        <v>2</v>
      </c>
      <c r="B144" s="98">
        <v>252248</v>
      </c>
      <c r="C144" s="99">
        <v>28525</v>
      </c>
      <c r="D144" s="67">
        <f t="shared" si="10"/>
        <v>280773</v>
      </c>
    </row>
    <row r="145" spans="1:4" x14ac:dyDescent="0.25">
      <c r="A145" s="95">
        <v>3</v>
      </c>
      <c r="B145" s="98">
        <v>200095</v>
      </c>
      <c r="C145" s="99">
        <v>29799</v>
      </c>
      <c r="D145" s="67">
        <f t="shared" si="10"/>
        <v>229894</v>
      </c>
    </row>
    <row r="146" spans="1:4" x14ac:dyDescent="0.25">
      <c r="A146" s="95">
        <v>4</v>
      </c>
      <c r="B146" s="98">
        <v>475354</v>
      </c>
      <c r="C146" s="99">
        <v>37877</v>
      </c>
      <c r="D146" s="67">
        <f t="shared" si="10"/>
        <v>513231</v>
      </c>
    </row>
    <row r="147" spans="1:4" ht="15.75" x14ac:dyDescent="0.25">
      <c r="A147" s="96">
        <v>5</v>
      </c>
      <c r="B147" s="98">
        <v>536716</v>
      </c>
      <c r="C147" s="99">
        <v>48246</v>
      </c>
      <c r="D147" s="67">
        <f t="shared" si="10"/>
        <v>584962</v>
      </c>
    </row>
    <row r="148" spans="1:4" x14ac:dyDescent="0.25">
      <c r="A148" s="95">
        <v>6</v>
      </c>
      <c r="B148" s="98">
        <v>444635</v>
      </c>
      <c r="C148" s="99">
        <v>44831</v>
      </c>
      <c r="D148" s="67">
        <f t="shared" si="10"/>
        <v>489466</v>
      </c>
    </row>
    <row r="149" spans="1:4" x14ac:dyDescent="0.25">
      <c r="A149" s="8">
        <v>7</v>
      </c>
      <c r="B149" s="98">
        <v>462450</v>
      </c>
      <c r="C149" s="99">
        <v>40651</v>
      </c>
      <c r="D149" s="67">
        <f t="shared" si="10"/>
        <v>503101</v>
      </c>
    </row>
    <row r="150" spans="1:4" ht="15.75" x14ac:dyDescent="0.25">
      <c r="A150" s="96">
        <v>8</v>
      </c>
      <c r="B150" s="98">
        <v>413663</v>
      </c>
      <c r="C150" s="99">
        <v>39365</v>
      </c>
      <c r="D150" s="67">
        <f t="shared" si="10"/>
        <v>453028</v>
      </c>
    </row>
    <row r="151" spans="1:4" ht="15.75" x14ac:dyDescent="0.25">
      <c r="A151" s="96">
        <v>9</v>
      </c>
      <c r="B151" s="98">
        <v>404762</v>
      </c>
      <c r="C151" s="99">
        <v>51272</v>
      </c>
      <c r="D151" s="67">
        <f t="shared" si="10"/>
        <v>456034</v>
      </c>
    </row>
    <row r="152" spans="1:4" ht="15.75" x14ac:dyDescent="0.25">
      <c r="A152" s="96">
        <v>10</v>
      </c>
      <c r="B152" s="98">
        <v>431497</v>
      </c>
      <c r="C152" s="99">
        <v>48017</v>
      </c>
      <c r="D152" s="67">
        <f t="shared" si="10"/>
        <v>479514</v>
      </c>
    </row>
    <row r="153" spans="1:4" x14ac:dyDescent="0.25">
      <c r="A153" s="95">
        <v>11</v>
      </c>
      <c r="B153" s="100">
        <v>383961</v>
      </c>
      <c r="C153" s="101">
        <v>36727</v>
      </c>
      <c r="D153" s="67">
        <f t="shared" si="10"/>
        <v>420688</v>
      </c>
    </row>
    <row r="154" spans="1:4" ht="15.75" thickBot="1" x14ac:dyDescent="0.3">
      <c r="A154" s="97">
        <v>12</v>
      </c>
      <c r="B154" s="45">
        <v>391575</v>
      </c>
      <c r="C154" s="102">
        <v>40006</v>
      </c>
      <c r="D154" s="67">
        <f t="shared" si="10"/>
        <v>431581</v>
      </c>
    </row>
    <row r="155" spans="1:4" ht="20.25" thickBot="1" x14ac:dyDescent="0.3">
      <c r="A155" s="10" t="s">
        <v>7</v>
      </c>
      <c r="B155" s="11">
        <f>+B143+B144+B145+B146+B147+B148+B149+B150+B151+B152+B153+B154</f>
        <v>4629448</v>
      </c>
      <c r="C155" s="11">
        <f>+C143+C144+C145+C146+C147+C148+C149+C150+C151+C152+C153+C154</f>
        <v>479601</v>
      </c>
      <c r="D155" s="12">
        <f>SUM(D143:D154)</f>
        <v>5109049</v>
      </c>
    </row>
    <row r="156" spans="1:4" ht="15.75" thickBot="1" x14ac:dyDescent="0.3"/>
    <row r="157" spans="1:4" ht="20.25" thickBot="1" x14ac:dyDescent="0.45">
      <c r="A157" s="38">
        <v>2025</v>
      </c>
      <c r="B157" s="103" t="s">
        <v>0</v>
      </c>
      <c r="C157" s="103"/>
      <c r="D157" s="103"/>
    </row>
    <row r="158" spans="1:4" ht="15.75" thickBot="1" x14ac:dyDescent="0.3">
      <c r="A158" s="1" t="s">
        <v>1</v>
      </c>
      <c r="B158" s="104" t="s">
        <v>2</v>
      </c>
      <c r="C158" s="104"/>
      <c r="D158" s="105" t="s">
        <v>3</v>
      </c>
    </row>
    <row r="159" spans="1:4" ht="15.75" thickBot="1" x14ac:dyDescent="0.3">
      <c r="A159" s="36" t="s">
        <v>4</v>
      </c>
      <c r="B159" s="94" t="s">
        <v>5</v>
      </c>
      <c r="C159" s="4" t="s">
        <v>6</v>
      </c>
      <c r="D159" s="105"/>
    </row>
    <row r="160" spans="1:4" x14ac:dyDescent="0.25">
      <c r="A160" s="5">
        <v>1</v>
      </c>
      <c r="B160" s="39">
        <v>391606</v>
      </c>
      <c r="C160" s="40">
        <v>41463</v>
      </c>
      <c r="D160" s="67">
        <f t="shared" ref="D160:D171" si="11">+SUM(B160:C160)</f>
        <v>433069</v>
      </c>
    </row>
    <row r="161" spans="1:4" x14ac:dyDescent="0.25">
      <c r="A161" s="95">
        <v>2</v>
      </c>
      <c r="B161" s="98">
        <v>490437</v>
      </c>
      <c r="C161" s="99">
        <v>44670</v>
      </c>
      <c r="D161" s="67">
        <f t="shared" si="11"/>
        <v>535107</v>
      </c>
    </row>
    <row r="162" spans="1:4" x14ac:dyDescent="0.25">
      <c r="A162" s="95">
        <v>3</v>
      </c>
      <c r="B162" s="98">
        <v>397224</v>
      </c>
      <c r="C162" s="99">
        <v>53090</v>
      </c>
      <c r="D162" s="67">
        <f t="shared" si="11"/>
        <v>450314</v>
      </c>
    </row>
    <row r="163" spans="1:4" x14ac:dyDescent="0.25">
      <c r="A163" s="95">
        <v>4</v>
      </c>
      <c r="B163" s="98">
        <v>532098</v>
      </c>
      <c r="C163" s="99">
        <v>39748</v>
      </c>
      <c r="D163" s="67">
        <f t="shared" si="11"/>
        <v>571846</v>
      </c>
    </row>
    <row r="164" spans="1:4" ht="15.75" x14ac:dyDescent="0.25">
      <c r="A164" s="96">
        <v>5</v>
      </c>
      <c r="B164" s="98">
        <v>438153</v>
      </c>
      <c r="C164" s="99">
        <v>35127</v>
      </c>
      <c r="D164" s="67">
        <f t="shared" si="11"/>
        <v>473280</v>
      </c>
    </row>
    <row r="165" spans="1:4" x14ac:dyDescent="0.25">
      <c r="A165" s="95">
        <v>6</v>
      </c>
      <c r="B165" s="98">
        <v>407791</v>
      </c>
      <c r="C165" s="99">
        <v>50461</v>
      </c>
      <c r="D165" s="67">
        <f t="shared" si="11"/>
        <v>458252</v>
      </c>
    </row>
    <row r="166" spans="1:4" x14ac:dyDescent="0.25">
      <c r="A166" s="8">
        <v>7</v>
      </c>
      <c r="B166" s="98">
        <v>444750</v>
      </c>
      <c r="C166" s="99">
        <v>55812</v>
      </c>
      <c r="D166" s="67">
        <f t="shared" si="11"/>
        <v>500562</v>
      </c>
    </row>
    <row r="167" spans="1:4" ht="15.75" x14ac:dyDescent="0.25">
      <c r="A167" s="96">
        <v>8</v>
      </c>
      <c r="B167" s="98">
        <v>629038</v>
      </c>
      <c r="C167" s="99">
        <v>44570</v>
      </c>
      <c r="D167" s="67">
        <f t="shared" si="11"/>
        <v>673608</v>
      </c>
    </row>
    <row r="168" spans="1:4" ht="15.75" x14ac:dyDescent="0.25">
      <c r="A168" s="96">
        <v>9</v>
      </c>
      <c r="B168" s="98">
        <v>469519</v>
      </c>
      <c r="C168" s="99">
        <v>64944</v>
      </c>
      <c r="D168" s="67">
        <f t="shared" si="11"/>
        <v>534463</v>
      </c>
    </row>
    <row r="169" spans="1:4" ht="15.75" x14ac:dyDescent="0.25">
      <c r="A169" s="96">
        <v>10</v>
      </c>
      <c r="B169" s="98">
        <v>497541</v>
      </c>
      <c r="C169" s="99">
        <v>62371</v>
      </c>
      <c r="D169" s="67">
        <f t="shared" si="11"/>
        <v>559912</v>
      </c>
    </row>
    <row r="170" spans="1:4" x14ac:dyDescent="0.25">
      <c r="A170" s="95">
        <v>11</v>
      </c>
      <c r="B170" s="100">
        <v>460349</v>
      </c>
      <c r="C170" s="101">
        <v>44853</v>
      </c>
      <c r="D170" s="67">
        <f t="shared" si="11"/>
        <v>505202</v>
      </c>
    </row>
    <row r="171" spans="1:4" ht="15.75" thickBot="1" x14ac:dyDescent="0.3">
      <c r="A171" s="97">
        <v>12</v>
      </c>
      <c r="B171" s="45">
        <v>349899</v>
      </c>
      <c r="C171" s="102">
        <v>56759</v>
      </c>
      <c r="D171" s="67">
        <f t="shared" si="11"/>
        <v>406658</v>
      </c>
    </row>
    <row r="172" spans="1:4" ht="20.25" thickBot="1" x14ac:dyDescent="0.3">
      <c r="A172" s="10" t="s">
        <v>7</v>
      </c>
      <c r="B172" s="11">
        <f>+B160+B161+B162+B163+B164+B165+B166+B167+B168+B169+B170+B171</f>
        <v>5508405</v>
      </c>
      <c r="C172" s="11">
        <f>+C160+C161+C162+C163+C164+C165+C166+C167+C168+C169+C170+C171</f>
        <v>593868</v>
      </c>
      <c r="D172" s="12">
        <f>SUM(D160:D171)</f>
        <v>6102273</v>
      </c>
    </row>
  </sheetData>
  <mergeCells count="30">
    <mergeCell ref="B4:D4"/>
    <mergeCell ref="B5:C5"/>
    <mergeCell ref="D5:D6"/>
    <mergeCell ref="B140:D140"/>
    <mergeCell ref="B124:C124"/>
    <mergeCell ref="D124:D125"/>
    <mergeCell ref="B72:D72"/>
    <mergeCell ref="B73:C73"/>
    <mergeCell ref="D73:D74"/>
    <mergeCell ref="B89:D89"/>
    <mergeCell ref="B90:C90"/>
    <mergeCell ref="D90:D91"/>
    <mergeCell ref="B106:D106"/>
    <mergeCell ref="B107:C107"/>
    <mergeCell ref="B56:C56"/>
    <mergeCell ref="D56:D57"/>
    <mergeCell ref="B39:C39"/>
    <mergeCell ref="D39:D40"/>
    <mergeCell ref="B141:C141"/>
    <mergeCell ref="D141:D142"/>
    <mergeCell ref="B21:D21"/>
    <mergeCell ref="B22:C22"/>
    <mergeCell ref="D22:D23"/>
    <mergeCell ref="B38:D38"/>
    <mergeCell ref="B55:D55"/>
    <mergeCell ref="B157:D157"/>
    <mergeCell ref="B158:C158"/>
    <mergeCell ref="D158:D159"/>
    <mergeCell ref="D107:D108"/>
    <mergeCell ref="B123:D12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vandrada</dc:creator>
  <dc:description/>
  <cp:lastModifiedBy>MARTIN FERRO</cp:lastModifiedBy>
  <cp:revision>10</cp:revision>
  <cp:lastPrinted>2022-01-05T16:05:57Z</cp:lastPrinted>
  <dcterms:created xsi:type="dcterms:W3CDTF">2017-02-14T18:40:13Z</dcterms:created>
  <dcterms:modified xsi:type="dcterms:W3CDTF">2026-02-09T21:39:38Z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